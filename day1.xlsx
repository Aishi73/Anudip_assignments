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"/>
    </mc:Choice>
  </mc:AlternateContent>
  <xr:revisionPtr revIDLastSave="0" documentId="8_{31F32153-7771-49DF-B621-22B1C047051F}" xr6:coauthVersionLast="47" xr6:coauthVersionMax="47" xr10:uidLastSave="{00000000-0000-0000-0000-000000000000}"/>
  <bookViews>
    <workbookView xWindow="-108" yWindow="-108" windowWidth="23256" windowHeight="12456" xr2:uid="{066F035C-8C5C-4288-97F1-08D06AE03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4" i="1"/>
  <c r="H5" i="1"/>
  <c r="H6" i="1"/>
  <c r="H7" i="1"/>
  <c r="H4" i="1"/>
  <c r="L5" i="1"/>
  <c r="L6" i="1"/>
  <c r="L7" i="1"/>
  <c r="L4" i="1"/>
  <c r="K5" i="1"/>
  <c r="K6" i="1"/>
  <c r="K7" i="1"/>
  <c r="K4" i="1"/>
  <c r="J5" i="1"/>
  <c r="J6" i="1"/>
  <c r="J7" i="1"/>
  <c r="J4" i="1"/>
  <c r="I7" i="1"/>
  <c r="I6" i="1"/>
  <c r="I5" i="1"/>
  <c r="I4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<sst xmlns="http://schemas.openxmlformats.org/spreadsheetml/2006/main" count="33" uniqueCount="33">
  <si>
    <t>STUDENT NAME</t>
  </si>
  <si>
    <t>SUB1</t>
  </si>
  <si>
    <t>SUB2</t>
  </si>
  <si>
    <t>SUB3</t>
  </si>
  <si>
    <t>TOTAL</t>
  </si>
  <si>
    <t>GRADE</t>
  </si>
  <si>
    <t>AISHI</t>
  </si>
  <si>
    <t>AISHANI</t>
  </si>
  <si>
    <t>MIMI</t>
  </si>
  <si>
    <t>TILLU</t>
  </si>
  <si>
    <t>PERCENTAGE</t>
  </si>
  <si>
    <t>MIN</t>
  </si>
  <si>
    <t>MAX</t>
  </si>
  <si>
    <t>AVERAGE</t>
  </si>
  <si>
    <t>STATUS</t>
  </si>
  <si>
    <t>PASS</t>
  </si>
  <si>
    <t>TOTAL=</t>
  </si>
  <si>
    <t>GRADE=</t>
  </si>
  <si>
    <t>PERCENTAGE=</t>
  </si>
  <si>
    <t>MIN=</t>
  </si>
  <si>
    <t>MAX=</t>
  </si>
  <si>
    <t>AVERAGE=</t>
  </si>
  <si>
    <t>STATUS=</t>
  </si>
  <si>
    <t>SUM(D4:D7)</t>
  </si>
  <si>
    <t>MIN(D4:F4)</t>
  </si>
  <si>
    <t>MAX(D4:F4)</t>
  </si>
  <si>
    <t>AVERAGE(D4:F4)</t>
  </si>
  <si>
    <t xml:space="preserve">F(I4&gt;25,"PASS","FAIL") </t>
  </si>
  <si>
    <t>IF(G4&gt;150,"A","B")</t>
  </si>
  <si>
    <t>G4/$G$8</t>
  </si>
  <si>
    <t>GEN-&gt;PER</t>
  </si>
  <si>
    <t>MTH</t>
  </si>
  <si>
    <t>$F19*G$18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</si>
</sst>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8FD2-9C89-4269-A7BB-D22BCD416F87}">
  <dimension ref="C3:Q22"/>
  <sheetViews>
    <sheetView tabSelected="1" topLeftCell="A3" workbookViewId="0">
      <selection activeCell="P14" sqref="P14"/>
    </sheetView>
  </sheetViews>
  <sheetFormatPr defaultRowHeight="14.4" x14ac:dyDescent="0.3"/>
  <cols>
    <col min="3" max="3" width="15.5546875" customWidth="1"/>
    <col min="9" max="9" width="12.88671875" customWidth="1"/>
    <col min="10" max="10" width="9.88671875" customWidth="1"/>
  </cols>
  <sheetData>
    <row r="3" spans="3:17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3:17" x14ac:dyDescent="0.3">
      <c r="C4" s="1" t="s">
        <v>6</v>
      </c>
      <c r="D4" s="1">
        <v>34</v>
      </c>
      <c r="E4" s="1">
        <v>56</v>
      </c>
      <c r="F4" s="1">
        <v>78</v>
      </c>
      <c r="G4" s="1">
        <f>SUM(D4:F4)</f>
        <v>168</v>
      </c>
      <c r="H4" s="1" t="str">
        <f>IF(G4&gt;=170,"A","B")</f>
        <v>B</v>
      </c>
      <c r="I4" s="2">
        <f>G4/G8</f>
        <v>0.21401273885350319</v>
      </c>
      <c r="J4" s="1">
        <f>MIN(D4:F4)</f>
        <v>34</v>
      </c>
      <c r="K4" s="1">
        <f>MAX(D4:F4)</f>
        <v>78</v>
      </c>
      <c r="L4" s="1">
        <f>AVERAGE(D4:F5)</f>
        <v>59.833333333333336</v>
      </c>
      <c r="M4" s="1" t="str">
        <f>IF(I4&gt;25,"PASS","FAIL")</f>
        <v>FAIL</v>
      </c>
    </row>
    <row r="5" spans="3:17" x14ac:dyDescent="0.3">
      <c r="C5" s="1" t="s">
        <v>7</v>
      </c>
      <c r="D5" s="1">
        <v>78</v>
      </c>
      <c r="E5" s="1">
        <v>23</v>
      </c>
      <c r="F5" s="1">
        <v>90</v>
      </c>
      <c r="G5" s="1">
        <f>SUM(D5:F5)</f>
        <v>191</v>
      </c>
      <c r="H5" s="1" t="str">
        <f t="shared" ref="H5:H7" si="0">IF(G5&gt;=170,"A","B")</f>
        <v>A</v>
      </c>
      <c r="I5" s="2">
        <f>G5/G8</f>
        <v>0.24331210191082803</v>
      </c>
      <c r="J5" s="1">
        <f t="shared" ref="J5:J7" si="1">MIN(D5:F5)</f>
        <v>23</v>
      </c>
      <c r="K5" s="1">
        <f t="shared" ref="K5:K7" si="2">MAX(D5:F5)</f>
        <v>90</v>
      </c>
      <c r="L5" s="1">
        <f t="shared" ref="L5:L7" si="3">AVERAGE(D5:F6)</f>
        <v>61.833333333333336</v>
      </c>
      <c r="M5" s="1" t="str">
        <f t="shared" ref="M5:M7" si="4">IF(I5&gt;25,"PASS","FAIL")</f>
        <v>FAIL</v>
      </c>
      <c r="Q5" s="3"/>
    </row>
    <row r="6" spans="3:17" x14ac:dyDescent="0.3">
      <c r="C6" s="1" t="s">
        <v>8</v>
      </c>
      <c r="D6" s="1">
        <v>45</v>
      </c>
      <c r="E6" s="1">
        <v>67</v>
      </c>
      <c r="F6" s="1">
        <v>68</v>
      </c>
      <c r="G6" s="1">
        <f>SUM(D6:F6)</f>
        <v>180</v>
      </c>
      <c r="H6" s="1" t="str">
        <f t="shared" si="0"/>
        <v>A</v>
      </c>
      <c r="I6" s="2">
        <f>G6/G8</f>
        <v>0.22929936305732485</v>
      </c>
      <c r="J6" s="1">
        <f t="shared" si="1"/>
        <v>45</v>
      </c>
      <c r="K6" s="1">
        <f t="shared" si="2"/>
        <v>68</v>
      </c>
      <c r="L6" s="1">
        <f t="shared" si="3"/>
        <v>71</v>
      </c>
      <c r="M6" s="1" t="str">
        <f t="shared" si="4"/>
        <v>FAIL</v>
      </c>
    </row>
    <row r="7" spans="3:17" x14ac:dyDescent="0.3">
      <c r="C7" s="1" t="s">
        <v>9</v>
      </c>
      <c r="D7" s="1">
        <v>64</v>
      </c>
      <c r="E7" s="1">
        <v>96</v>
      </c>
      <c r="F7" s="1">
        <v>86</v>
      </c>
      <c r="G7" s="1">
        <f>SUM(D7:F7)</f>
        <v>246</v>
      </c>
      <c r="H7" s="1" t="str">
        <f t="shared" si="0"/>
        <v>A</v>
      </c>
      <c r="I7" s="2">
        <f>G7/$G$8</f>
        <v>0.31337579617834393</v>
      </c>
      <c r="J7" s="1">
        <f t="shared" si="1"/>
        <v>64</v>
      </c>
      <c r="K7" s="1">
        <f t="shared" si="2"/>
        <v>96</v>
      </c>
      <c r="L7" s="1">
        <f t="shared" si="3"/>
        <v>82</v>
      </c>
      <c r="M7" s="1" t="s">
        <v>15</v>
      </c>
    </row>
    <row r="8" spans="3:17" x14ac:dyDescent="0.3">
      <c r="C8" s="1"/>
      <c r="D8" s="1"/>
      <c r="E8" s="1"/>
      <c r="F8" s="1"/>
      <c r="G8" s="1">
        <f>SUM(G4:G7)</f>
        <v>785</v>
      </c>
      <c r="H8" s="1"/>
      <c r="I8" s="2"/>
      <c r="J8" s="1"/>
      <c r="K8" s="1"/>
      <c r="L8" s="1"/>
      <c r="M8" s="1"/>
    </row>
    <row r="10" spans="3:17" ht="28.8" x14ac:dyDescent="0.3">
      <c r="C10" t="s">
        <v>16</v>
      </c>
      <c r="D10" s="4" t="s">
        <v>23</v>
      </c>
    </row>
    <row r="11" spans="3:17" ht="28.8" x14ac:dyDescent="0.3">
      <c r="C11" t="s">
        <v>17</v>
      </c>
      <c r="D11" s="4" t="s">
        <v>28</v>
      </c>
    </row>
    <row r="12" spans="3:17" x14ac:dyDescent="0.3">
      <c r="C12" t="s">
        <v>18</v>
      </c>
      <c r="D12" t="s">
        <v>29</v>
      </c>
      <c r="E12" t="s">
        <v>30</v>
      </c>
    </row>
    <row r="13" spans="3:17" ht="28.8" x14ac:dyDescent="0.3">
      <c r="C13" t="s">
        <v>19</v>
      </c>
      <c r="D13" s="4" t="s">
        <v>24</v>
      </c>
    </row>
    <row r="14" spans="3:17" ht="28.8" x14ac:dyDescent="0.3">
      <c r="C14" t="s">
        <v>20</v>
      </c>
      <c r="D14" s="4" t="s">
        <v>25</v>
      </c>
    </row>
    <row r="15" spans="3:17" ht="28.8" x14ac:dyDescent="0.3">
      <c r="C15" t="s">
        <v>21</v>
      </c>
      <c r="D15" s="4" t="s">
        <v>26</v>
      </c>
    </row>
    <row r="16" spans="3:17" ht="43.2" x14ac:dyDescent="0.3">
      <c r="C16" t="s">
        <v>22</v>
      </c>
      <c r="D16" s="4" t="s">
        <v>27</v>
      </c>
    </row>
    <row r="18" spans="6:10" x14ac:dyDescent="0.3">
      <c r="F18" s="1" t="s">
        <v>31</v>
      </c>
      <c r="G18" s="1">
        <v>10</v>
      </c>
      <c r="H18" s="1">
        <v>20</v>
      </c>
      <c r="I18" s="1">
        <v>30</v>
      </c>
      <c r="J18" s="1">
        <v>40</v>
      </c>
    </row>
    <row r="19" spans="6:10" x14ac:dyDescent="0.3">
      <c r="F19" s="1">
        <v>1</v>
      </c>
      <c r="G19" s="1">
        <v>10</v>
      </c>
      <c r="H19" s="1">
        <v>20</v>
      </c>
      <c r="I19" s="1">
        <v>30</v>
      </c>
      <c r="J19" s="1">
        <v>40</v>
      </c>
    </row>
    <row r="20" spans="6:10" x14ac:dyDescent="0.3">
      <c r="F20" s="1">
        <v>2</v>
      </c>
      <c r="G20" s="1">
        <v>20</v>
      </c>
      <c r="H20" s="1">
        <v>40</v>
      </c>
      <c r="I20" s="1">
        <v>60</v>
      </c>
      <c r="J20" s="1">
        <v>80</v>
      </c>
    </row>
    <row r="21" spans="6:10" x14ac:dyDescent="0.3">
      <c r="F21" s="1">
        <v>3</v>
      </c>
      <c r="G21" s="1">
        <v>30</v>
      </c>
      <c r="H21" s="1">
        <v>60</v>
      </c>
      <c r="I21" s="1">
        <v>90</v>
      </c>
      <c r="J21" s="1">
        <v>120</v>
      </c>
    </row>
    <row r="22" spans="6:10" ht="28.8" x14ac:dyDescent="0.3">
      <c r="J22" s="4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2025-11-20T14:44:06Z</dcterms:created>
  <dcterms:modified xsi:type="dcterms:W3CDTF">2025-11-20T15:10:37Z</dcterms:modified>
</cp:coreProperties>
</file>